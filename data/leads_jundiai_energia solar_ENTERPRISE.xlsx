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m\Documents\github\GoogleMaps_Scraper\data\"/>
    </mc:Choice>
  </mc:AlternateContent>
  <xr:revisionPtr revIDLastSave="0" documentId="13_ncr:1_{09F00EAD-6D00-412D-9357-ED04F09542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 Extraí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<sst xmlns="http://schemas.openxmlformats.org/spreadsheetml/2006/main" count="67" uniqueCount="38">
  <si>
    <t>Status do Lead</t>
  </si>
  <si>
    <t>Prioridade</t>
  </si>
  <si>
    <t>Nome</t>
  </si>
  <si>
    <t>E-mail</t>
  </si>
  <si>
    <t>Instagram</t>
  </si>
  <si>
    <t>Facebook</t>
  </si>
  <si>
    <t>LinkedIn</t>
  </si>
  <si>
    <t>Telefone</t>
  </si>
  <si>
    <t>Site</t>
  </si>
  <si>
    <t>Status do Site</t>
  </si>
  <si>
    <t>Presença Digital</t>
  </si>
  <si>
    <t>Link do Maps</t>
  </si>
  <si>
    <t>Novo</t>
  </si>
  <si>
    <t>Alta (Quente)</t>
  </si>
  <si>
    <t>Média (Morno)</t>
  </si>
  <si>
    <t>ENERGIA SOLAR - SEGENERGY JUNDIAÍ</t>
  </si>
  <si>
    <t>E.R SOLAR JUNDIAI</t>
  </si>
  <si>
    <t>ALPHA ENERGIA SOLAR</t>
  </si>
  <si>
    <t>FL Solars Energia Solar</t>
  </si>
  <si>
    <t>Souza Solar - Instalação de Energia Solar em Jundiaí</t>
  </si>
  <si>
    <t>comercial.jundiai@segenergysolar.com.brassinarreceba</t>
  </si>
  <si>
    <t>N/A</t>
  </si>
  <si>
    <t>https://www.instagram.com/segenergy.jundiai02/</t>
  </si>
  <si>
    <t>https://www.facebook.com/Segenergy.jundiai/</t>
  </si>
  <si>
    <t>https://www.linkedin.com/company/93206777/admin/feed/posts/</t>
  </si>
  <si>
    <t>https://www.energiasolarjd.com/</t>
  </si>
  <si>
    <t>https://ersolar.com.br/</t>
  </si>
  <si>
    <t>http://www.flsolars.com.br/</t>
  </si>
  <si>
    <t>Ativo (200 OK)</t>
  </si>
  <si>
    <t>Sem Site</t>
  </si>
  <si>
    <t>Erro 406</t>
  </si>
  <si>
    <t>Com site</t>
  </si>
  <si>
    <t>Sem site</t>
  </si>
  <si>
    <t>https://tinyurl.com/22q3a5cp</t>
  </si>
  <si>
    <t>https://tinyurl.com/2c68lmsz</t>
  </si>
  <si>
    <t>https://tinyurl.com/2cgz63m6</t>
  </si>
  <si>
    <t>https://tinyurl.com/26hbzpy5</t>
  </si>
  <si>
    <t>https://tinyurl.com/28l7hea6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</si>
</sst>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2cgz63m6" TargetMode="External"/><Relationship Id="rId3" Type="http://schemas.openxmlformats.org/officeDocument/2006/relationships/hyperlink" Target="https://www.linkedin.com/company/93206777/admin/feed/posts/" TargetMode="External"/><Relationship Id="rId7" Type="http://schemas.openxmlformats.org/officeDocument/2006/relationships/hyperlink" Target="https://tinyurl.com/2c68lmsz" TargetMode="External"/><Relationship Id="rId2" Type="http://schemas.openxmlformats.org/officeDocument/2006/relationships/hyperlink" Target="https://www.facebook.com/Segenergy.jundiai/" TargetMode="External"/><Relationship Id="rId1" Type="http://schemas.openxmlformats.org/officeDocument/2006/relationships/hyperlink" Target="https://www.instagram.com/segenergy.jundiai02/" TargetMode="External"/><Relationship Id="rId6" Type="http://schemas.openxmlformats.org/officeDocument/2006/relationships/hyperlink" Target="https://ersolar.com.br/" TargetMode="External"/><Relationship Id="rId11" Type="http://schemas.openxmlformats.org/officeDocument/2006/relationships/hyperlink" Target="https://tinyurl.com/28l7hea6" TargetMode="External"/><Relationship Id="rId5" Type="http://schemas.openxmlformats.org/officeDocument/2006/relationships/hyperlink" Target="https://tinyurl.com/22q3a5cp" TargetMode="External"/><Relationship Id="rId10" Type="http://schemas.openxmlformats.org/officeDocument/2006/relationships/hyperlink" Target="https://tinyurl.com/26hbzpy5" TargetMode="External"/><Relationship Id="rId4" Type="http://schemas.openxmlformats.org/officeDocument/2006/relationships/hyperlink" Target="https://www.energiasolarjd.com/" TargetMode="External"/><Relationship Id="rId9" Type="http://schemas.openxmlformats.org/officeDocument/2006/relationships/hyperlink" Target="http://www.flsolar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2" width="15.7109375" customWidth="1"/>
    <col min="3" max="3" width="35.7109375" customWidth="1"/>
    <col min="4" max="7" width="30.7109375" customWidth="1"/>
    <col min="8" max="8" width="22.7109375" customWidth="1"/>
    <col min="9" max="9" width="30.7109375" customWidth="1"/>
    <col min="10" max="11" width="15.7109375" customWidth="1"/>
    <col min="12" max="12" width="3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15</v>
      </c>
      <c r="D2" t="s">
        <v>20</v>
      </c>
      <c r="E2" s="2" t="s">
        <v>22</v>
      </c>
      <c r="F2" s="2" t="s">
        <v>23</v>
      </c>
      <c r="G2" s="2" t="s">
        <v>24</v>
      </c>
      <c r="H2" t="str">
        <f>HYPERLINK("https://wa.me/5511916486299", "📱 5511916486299")</f>
        <v>📱 5511916486299</v>
      </c>
      <c r="I2" s="2" t="s">
        <v>25</v>
      </c>
      <c r="J2" t="s">
        <v>28</v>
      </c>
      <c r="K2" t="s">
        <v>31</v>
      </c>
      <c r="L2" s="2" t="s">
        <v>33</v>
      </c>
    </row>
    <row r="3" spans="1:12" x14ac:dyDescent="0.25">
      <c r="A3" t="s">
        <v>12</v>
      </c>
      <c r="B3" t="s">
        <v>14</v>
      </c>
      <c r="C3" t="s">
        <v>16</v>
      </c>
      <c r="D3" t="s">
        <v>21</v>
      </c>
      <c r="E3" t="s">
        <v>21</v>
      </c>
      <c r="F3" t="s">
        <v>21</v>
      </c>
      <c r="G3" t="s">
        <v>21</v>
      </c>
      <c r="H3" t="str">
        <f>HYPERLINK("https://wa.me/5511977992983", "📱 5511977992983")</f>
        <v>📱 5511977992983</v>
      </c>
      <c r="I3" s="2" t="s">
        <v>26</v>
      </c>
      <c r="J3" t="s">
        <v>28</v>
      </c>
      <c r="K3" t="s">
        <v>31</v>
      </c>
      <c r="L3" s="2" t="s">
        <v>34</v>
      </c>
    </row>
    <row r="4" spans="1:12" x14ac:dyDescent="0.25">
      <c r="A4" t="s">
        <v>12</v>
      </c>
      <c r="B4" t="s">
        <v>14</v>
      </c>
      <c r="C4" t="s">
        <v>17</v>
      </c>
      <c r="D4" t="s">
        <v>21</v>
      </c>
      <c r="E4" t="s">
        <v>21</v>
      </c>
      <c r="F4" t="s">
        <v>21</v>
      </c>
      <c r="G4" t="s">
        <v>21</v>
      </c>
      <c r="H4" t="str">
        <f>HYPERLINK("https://wa.me/5511917724639", "📱 5511917724639")</f>
        <v>📱 5511917724639</v>
      </c>
      <c r="I4" t="s">
        <v>21</v>
      </c>
      <c r="J4" t="s">
        <v>29</v>
      </c>
      <c r="K4" t="s">
        <v>32</v>
      </c>
      <c r="L4" s="2" t="s">
        <v>35</v>
      </c>
    </row>
    <row r="5" spans="1:12" x14ac:dyDescent="0.25">
      <c r="A5" t="s">
        <v>12</v>
      </c>
      <c r="B5" t="s">
        <v>14</v>
      </c>
      <c r="C5" t="s">
        <v>18</v>
      </c>
      <c r="D5" t="s">
        <v>21</v>
      </c>
      <c r="E5" t="s">
        <v>21</v>
      </c>
      <c r="F5" t="s">
        <v>21</v>
      </c>
      <c r="G5" t="s">
        <v>21</v>
      </c>
      <c r="H5" t="str">
        <f>HYPERLINK("https://wa.me/5511917311848", "📱 5511917311848")</f>
        <v>📱 5511917311848</v>
      </c>
      <c r="I5" s="2" t="s">
        <v>27</v>
      </c>
      <c r="J5" t="s">
        <v>30</v>
      </c>
      <c r="K5" t="s">
        <v>31</v>
      </c>
      <c r="L5" s="2" t="s">
        <v>36</v>
      </c>
    </row>
    <row r="6" spans="1:12" x14ac:dyDescent="0.25">
      <c r="A6" t="s">
        <v>12</v>
      </c>
      <c r="B6" t="s">
        <v>14</v>
      </c>
      <c r="C6" t="s">
        <v>19</v>
      </c>
      <c r="D6" t="s">
        <v>21</v>
      </c>
      <c r="E6" t="s">
        <v>21</v>
      </c>
      <c r="F6" t="s">
        <v>21</v>
      </c>
      <c r="G6" t="s">
        <v>21</v>
      </c>
      <c r="H6" t="str">
        <f>HYPERLINK("https://wa.me/5511913265417", "📱 5511913265417")</f>
        <v>📱 5511913265417</v>
      </c>
      <c r="I6" t="s">
        <v>21</v>
      </c>
      <c r="J6" t="s">
        <v>29</v>
      </c>
      <c r="K6" t="s">
        <v>32</v>
      </c>
      <c r="L6" s="2" t="s">
        <v>37</v>
      </c>
    </row>
  </sheetData>
  <hyperlinks>
    <hyperlink ref="E2" r:id="rId1" xr:uid="{00000000-0004-0000-0000-000000000000}"/>
    <hyperlink ref="F2" r:id="rId2" xr:uid="{00000000-0004-0000-0000-000001000000}"/>
    <hyperlink ref="G2" r:id="rId3" xr:uid="{00000000-0004-0000-0000-000002000000}"/>
    <hyperlink ref="I2" r:id="rId4" xr:uid="{00000000-0004-0000-0000-000003000000}"/>
    <hyperlink ref="L2" r:id="rId5" xr:uid="{00000000-0004-0000-0000-000004000000}"/>
    <hyperlink ref="I3" r:id="rId6" xr:uid="{00000000-0004-0000-0000-000005000000}"/>
    <hyperlink ref="L3" r:id="rId7" xr:uid="{00000000-0004-0000-0000-000006000000}"/>
    <hyperlink ref="L4" r:id="rId8" xr:uid="{00000000-0004-0000-0000-000007000000}"/>
    <hyperlink ref="I5" r:id="rId9" xr:uid="{00000000-0004-0000-0000-000008000000}"/>
    <hyperlink ref="L5" r:id="rId10" xr:uid="{00000000-0004-0000-0000-000009000000}"/>
    <hyperlink ref="L6" r:id="rId11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Leads Extraídos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miranda</cp:lastModifiedBy>
  <dcterms:created xsi:type="dcterms:W3CDTF">2026-04-14T23:28:46Z</dcterms:created>
  <dcterms:modified xsi:type="dcterms:W3CDTF">2026-04-15T00:23:49Z</dcterms:modified>
</cp:coreProperties>
</file>