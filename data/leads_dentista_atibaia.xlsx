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 do Lead</t>
        </is>
      </c>
      <c r="B1" s="1" t="inlineStr">
        <is>
          <t>Nome</t>
        </is>
      </c>
      <c r="C1" s="1" t="inlineStr">
        <is>
          <t>E-mail</t>
        </is>
      </c>
      <c r="D1" s="1" t="inlineStr">
        <is>
          <t>Telefone</t>
        </is>
      </c>
      <c r="E1" s="1" t="inlineStr">
        <is>
          <t>Link do WhatsApp</t>
        </is>
      </c>
      <c r="F1" s="1" t="inlineStr">
        <is>
          <t>Site</t>
        </is>
      </c>
      <c r="G1" s="1" t="inlineStr">
        <is>
          <t>Presença Digital</t>
        </is>
      </c>
      <c r="H1" s="1" t="inlineStr">
        <is>
          <t>Link do Maps</t>
        </is>
      </c>
    </row>
    <row r="2">
      <c r="A2" t="inlineStr">
        <is>
          <t>Novo</t>
        </is>
      </c>
      <c r="B2" t="inlineStr">
        <is>
          <t>Dra Marília Passos Clínica Odontológica | Clareamento Dental</t>
        </is>
      </c>
      <c r="C2" t="inlineStr">
        <is>
          <t>N/A</t>
        </is>
      </c>
      <c r="D2" t="inlineStr">
        <is>
          <t>011942325488</t>
        </is>
      </c>
      <c r="E2">
        <f>HYPERLINK("https://wa.me/5511942325488", "📱 5511942325488")</f>
        <v/>
      </c>
      <c r="F2" t="inlineStr">
        <is>
          <t>https://dramariliapassos-clinicaodontologica.localo.site/</t>
        </is>
      </c>
      <c r="G2" t="inlineStr">
        <is>
          <t>Com site</t>
        </is>
      </c>
      <c r="H2">
        <f>HYPERLINK("https://www.google.com/maps/place/Dra+Mar%C3%ADlia+Passos+Cl%C3%ADnica+Odontol%C3%B3gica+%7C+Clareamento+Dental/@-23.1233536,-46.5641676,15z/data=!4m10!1m2!2m1!1sdentista+em+atibaia!3m6!1s0x94cec1fc4b028caf:0x869fb1491ad0e870!8m2!3d-23.1259033!4d-46.5641889!15sChNkZW50aXN0YSBlbSBhdGliYWlhWhUiE2RlbnRpc3RhIGVtIGF0aWJhaWGSAQ1kZW50YWxfY2xpbmljmgEjQ2haRFNVaE5NRzluUzBWSlEwRm5TVU0zZUU1eGMwNW5FQUXgAQD6AQQIABA_!16s%2Fg%2F11w2jpwrhg?entry=ttu&amp;g_ep=EgoyMDI2MDMyOS4wIKXMDSoASAFQAw%3D%3D", "🗺️ Ver no Mapa")</f>
        <v/>
      </c>
    </row>
    <row r="3">
      <c r="A3" t="inlineStr">
        <is>
          <t>Novo</t>
        </is>
      </c>
      <c r="B3" t="inlineStr">
        <is>
          <t>🔹Clínica Odonto Atibaia/Dr.Guilherme Martins/Dentista 24horas/</t>
        </is>
      </c>
      <c r="C3" t="inlineStr">
        <is>
          <t>N/A</t>
        </is>
      </c>
      <c r="D3" t="inlineStr">
        <is>
          <t>011940566076</t>
        </is>
      </c>
      <c r="E3">
        <f>HYPERLINK("https://wa.me/5511940566076", "📱 5511940566076")</f>
        <v/>
      </c>
      <c r="F3" t="inlineStr">
        <is>
          <t>https://instagram.com/dr.guilherme.martins?igshid=YmMyMTA2M2Y=</t>
        </is>
      </c>
      <c r="G3" t="inlineStr">
        <is>
          <t>Com site</t>
        </is>
      </c>
      <c r="H3">
        <f>HYPERLINK("https://www.google.com/maps/place/%F0%9F%94%B9Cl%C3%ADnica+Odonto+Atibaia%2FDr.Guilherme+Martins%2FDentista+24horas%2F/@-23.1259033,-46.5822133,15z/data=!4m10!1m2!2m1!1sdentista+em+atibaia!3m6!1s0x94cec1280ac4edaf:0x8f08b3a8d1c1d0f8!8m2!3d-23.1232634!4d-46.583716!15sChNkZW50aXN0YSBlbSBhdGliYWlhWhUiE2RlbnRpc3RhIGVtIGF0aWJhaWGSAQdkZW50aXN0mgFEQ2k5RFFVbFJRVU52WkVOb2RIbGpSamx2VDIxYWExWkljRVJoYkU1RVdqTm9UbEp0YkU5a1ZYQktWMVJGTWxkdFl4QULgAQD6AQQIABBD!16s%2Fg%2F11szfd6kl4?entry=ttu&amp;g_ep=EgoyMDI2MDMyOS4wIKXMDSoASAFQAw%3D%3D", "🗺️ Ver no Mapa")</f>
        <v/>
      </c>
    </row>
    <row r="4">
      <c r="A4" t="inlineStr">
        <is>
          <t>Novo</t>
        </is>
      </c>
      <c r="B4" t="inlineStr">
        <is>
          <t>Dentista Atibaia/Dra.LetíciaCCampos/Espaço Odonto</t>
        </is>
      </c>
      <c r="C4" t="inlineStr">
        <is>
          <t>N/A</t>
        </is>
      </c>
      <c r="D4" t="inlineStr">
        <is>
          <t>011915740170</t>
        </is>
      </c>
      <c r="E4">
        <f>HYPERLINK("https://wa.me/5511915740170", "📱 5511915740170")</f>
        <v/>
      </c>
      <c r="F4" t="inlineStr">
        <is>
          <t>N/A</t>
        </is>
      </c>
      <c r="G4" t="inlineStr">
        <is>
          <t>Sem site</t>
        </is>
      </c>
      <c r="H4">
        <f>HYPERLINK("https://www.google.com/maps/place/Dentista+Atibaia%2FDra.Let%C3%ADciaCCampos%2FEspa%C3%A7o+Odonto/@-23.1232634,-46.6017404,15z/data=!4m10!1m2!2m1!1sdentista+em+atibaia!3m6!1s0x94cec1385c439f09:0xb6eca860321c9131!8m2!3d-23.1165565!4d-46.5786503!15sChNkZW50aXN0YSBlbSBhdGliYWlhWhUiE2RlbnRpc3RhIGVtIGF0aWJhaWGSAQdkZW50aXN0mgEkQ2hkRFNVaE5NRzluUzBWSlEwRm5TVU5xTTJWbVRXdG5SUkFC4AEA-gEECB0QPw!16s%2Fg%2F11txxt_m4t?entry=ttu&amp;g_ep=EgoyMDI2MDMyOS4wIKXMDSoASAFQAw%3D%3D", "🗺️ Ver no Mapa")</f>
        <v/>
      </c>
    </row>
    <row r="5">
      <c r="A5" t="inlineStr">
        <is>
          <t>Novo</t>
        </is>
      </c>
      <c r="B5" t="inlineStr">
        <is>
          <t>Odonto Atibaia | Dra Juliana Leclerc</t>
        </is>
      </c>
      <c r="C5" t="inlineStr">
        <is>
          <t>N/A</t>
        </is>
      </c>
      <c r="D5" t="inlineStr">
        <is>
          <t>011992741887</t>
        </is>
      </c>
      <c r="E5">
        <f>HYPERLINK("https://wa.me/5511992741887", "📱 5511992741887")</f>
        <v/>
      </c>
      <c r="F5" t="inlineStr">
        <is>
          <t>https://www.instagram.com/odontoatibaia/</t>
        </is>
      </c>
      <c r="G5" t="inlineStr">
        <is>
          <t>Com site</t>
        </is>
      </c>
      <c r="H5">
        <f>HYPERLINK("https://www.google.com/maps/place/Odonto+Atibaia+%7C+Dra+Juliana+Leclerc/@-23.1232634,-46.6017404,15z/data=!4m10!1m2!2m1!1sdentista+em+atibaia!3m6!1s0x94cec1cad4abf789:0x4691179b15f8c95e!8m2!3d-23.1166659!4d-46.5517024!15sChNkZW50aXN0YSBlbSBhdGliYWlhWhUiE2RlbnRpc3RhIGVtIGF0aWJhaWGSAQdkZW50aXN04AEA!16s%2Fg%2F11zkq3ll_9?entry=ttu&amp;g_ep=EgoyMDI2MDMyOS4wIKXMDSoASAFQAw%3D%3D", "🗺️ Ver no Mapa")</f>
        <v/>
      </c>
    </row>
    <row r="6">
      <c r="A6" t="inlineStr">
        <is>
          <t>Novo</t>
        </is>
      </c>
      <c r="B6" t="inlineStr">
        <is>
          <t>Dra Karine Lopes - HOF</t>
        </is>
      </c>
      <c r="C6" t="inlineStr">
        <is>
          <t>N/A</t>
        </is>
      </c>
      <c r="D6" t="inlineStr">
        <is>
          <t>011965954486</t>
        </is>
      </c>
      <c r="E6">
        <f>HYPERLINK("https://wa.me/5511965954486", "📱 5511965954486")</f>
        <v/>
      </c>
      <c r="F6" t="inlineStr">
        <is>
          <t>N/A</t>
        </is>
      </c>
      <c r="G6" t="inlineStr">
        <is>
          <t>Sem site</t>
        </is>
      </c>
      <c r="H6">
        <f>HYPERLINK("https://www.google.com/maps/place/Dra+Karine+Lopes+-+HOF/@-23.1166659,-46.5697268,15z/data=!4m10!1m2!2m1!1sdentista+em+atibaia!3m6!1s0x94cec126edf65bb9:0x79ffdd49ae96ffc6!8m2!3d-23.1165445!4d-46.5446191!15sChNkZW50aXN0YSBlbSBhdGliYWlhWhUiE2RlbnRpc3RhIGVtIGF0aWJhaWGSAQdkZW50aXN0mgFEQ2k5RFFVbFJRVU52WkVOb2RIbGpSamx2VDJ0Sk1GcHJkRFJOTW1oT1YxYzVTbFJxUWxKV01XOTVZVEZ3ZDFsV1JSQULgAQD6AQQIERAd!16s%2Fg%2F11gh00tlvl?entry=ttu&amp;g_ep=EgoyMDI2MDMyOS4wIKXMDSoASAFQAw%3D%3D", "🗺️ Ver no Mapa")</f>
        <v/>
      </c>
    </row>
    <row r="7">
      <c r="A7" t="inlineStr">
        <is>
          <t>Novo</t>
        </is>
      </c>
      <c r="B7" t="inlineStr">
        <is>
          <t>COA - Centro Odontológico Atibaia</t>
        </is>
      </c>
      <c r="C7" t="inlineStr">
        <is>
          <t>N/A</t>
        </is>
      </c>
      <c r="D7" t="inlineStr">
        <is>
          <t>01124276915</t>
        </is>
      </c>
      <c r="E7">
        <f>HYPERLINK("https://wa.me/551124276915", "📱 551124276915")</f>
        <v/>
      </c>
      <c r="F7" t="inlineStr">
        <is>
          <t>N/A</t>
        </is>
      </c>
      <c r="G7" t="inlineStr">
        <is>
          <t>Sem site</t>
        </is>
      </c>
      <c r="H7">
        <f>HYPERLINK("https://www.google.com/maps/place/COA+-+Centro+Odontol%C3%B3gico+Atibaia/@-23.1166659,-46.5697268,15z/data=!4m10!1m2!2m1!1sdentista+em+atibaia!3m6!1s0x94cec1273537bb03:0xd71a5b9129fecf1!8m2!3d-23.1163241!4d-46.5561006!15sChNkZW50aXN0YSBlbSBhdGliYWlhWhUiE2RlbnRpc3RhIGVtIGF0aWJhaWGSAQdkZW50aXN0mgEkQ2hkRFNVaE5NRzluUzBWSlEwRm5TVVJvY2tsUGVXdFJSUkFC4AEA-gEECAAQRg!16s%2Fg%2F11f5jqdb9r?entry=ttu&amp;g_ep=EgoyMDI2MDMyOS4wIKXMDSoASAFQAw%3D%3D", "🗺️ Ver no Mapa")</f>
        <v/>
      </c>
    </row>
    <row r="8">
      <c r="A8" t="inlineStr">
        <is>
          <t>Novo</t>
        </is>
      </c>
      <c r="B8" t="inlineStr">
        <is>
          <t>Airton Cunha Odontologia</t>
        </is>
      </c>
      <c r="C8" t="inlineStr">
        <is>
          <t>N/A</t>
        </is>
      </c>
      <c r="D8" t="inlineStr">
        <is>
          <t>011974883033</t>
        </is>
      </c>
      <c r="E8">
        <f>HYPERLINK("https://wa.me/5511974883033", "📱 5511974883033")</f>
        <v/>
      </c>
      <c r="F8" t="inlineStr">
        <is>
          <t>https://www.instagram.com/dr.airtoncunhaodontologia/</t>
        </is>
      </c>
      <c r="G8" t="inlineStr">
        <is>
          <t>Com site</t>
        </is>
      </c>
      <c r="H8">
        <f>HYPERLINK("https://www.google.com/maps/place/Airton+Cunha+Odontologia/@-23.1166659,-46.5697268,15z/data=!4m10!1m2!2m1!1sdentista+em+atibaia!3m6!1s0x94cec1714ff97f9f:0xfcf85e05fa12d4a0!8m2!3d-23.1206337!4d-46.5826616!15sChNkZW50aXN0YSBlbSBhdGliYWlhWhUiE2RlbnRpc3RhIGVtIGF0aWJhaWGSAQ1kZW50YWxfY2xpbmljmgEkQ2hkRFNVaE5NRzluUzBWSlEwRm5TVVEzWjAxTVpqRm5SUkFC4AEA-gEECAAQPA!16s%2Fg%2F11y64dtjbc?entry=ttu&amp;g_ep=EgoyMDI2MDMyOS4wIKXMDSoASAFQAw%3D%3D", "🗺️ Ver no Mapa")</f>
        <v/>
      </c>
    </row>
    <row r="9">
      <c r="A9" t="inlineStr">
        <is>
          <t>Novo</t>
        </is>
      </c>
      <c r="B9" t="inlineStr">
        <is>
          <t>SorrisOdonto - Dra Amanda Proença</t>
        </is>
      </c>
      <c r="C9" t="inlineStr">
        <is>
          <t>N/A</t>
        </is>
      </c>
      <c r="D9" t="inlineStr">
        <is>
          <t>011989877212</t>
        </is>
      </c>
      <c r="E9">
        <f>HYPERLINK("https://wa.me/5511989877212", "📱 5511989877212")</f>
        <v/>
      </c>
      <c r="F9" t="inlineStr">
        <is>
          <t>https://www.instagram.com/manda_proenca/</t>
        </is>
      </c>
      <c r="G9" t="inlineStr">
        <is>
          <t>Com site</t>
        </is>
      </c>
      <c r="H9">
        <f>HYPERLINK("https://www.google.com/maps/place/SorrisOdonto+-+Dra+Amanda+Proen%C3%A7a/@-23.1206337,-46.600686,15z/data=!4m10!1m2!2m1!1sdentista+em+atibaia!3m6!1s0x94cec189ebdf8fc7:0x459d14e1eef537d5!8m2!3d-23.1323293!4d-46.5813678!15sChNkZW50aXN0YSBlbSBhdGliYWlhWhUiE2RlbnRpc3RhIGVtIGF0aWJhaWGSAQ1kZW50YWxfY2xpbmljmgEkQ2hkRFNVaE5NRzluUzBWSlEwRm5UVVIzZHpReVFuZEJSUkFC4AEA-gEECEAQNQ!16s%2Fg%2F11gxjt0fb8?entry=ttu&amp;g_ep=EgoyMDI2MDMyOS4wIKXMDSoASAFQAw%3D%3D", "🗺️ Ver no Mapa")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2026-03-31T22:57:58Z</dcterms:created>
  <dcterms:modified xsi:type="dcterms:W3CDTF">2026-03-31T22:57:58Z</dcterms:modified>
</cp:coreProperties>
</file>