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Extraídos" sheetId="1" r:id="rId1"/>
  </sheets>
  <calcPr calcId="124519" fullCalcOnLoad="1"/>
</workbook>
</file>

<file path=xl/sharedStrings.xml><?xml version="1.0" encoding="utf-8"?>
<sst xmlns="http://schemas.openxmlformats.org/spreadsheetml/2006/main" count="79" uniqueCount="39">
  <si>
    <t>Status do Lead</t>
  </si>
  <si>
    <t>Prioridade</t>
  </si>
  <si>
    <t>Nome</t>
  </si>
  <si>
    <t>E-mail</t>
  </si>
  <si>
    <t>Instagram</t>
  </si>
  <si>
    <t>Facebook</t>
  </si>
  <si>
    <t>LinkedIn</t>
  </si>
  <si>
    <t>Telefone</t>
  </si>
  <si>
    <t>Site</t>
  </si>
  <si>
    <t>Status do Site</t>
  </si>
  <si>
    <t>Presença Digital</t>
  </si>
  <si>
    <t>Link do Maps</t>
  </si>
  <si>
    <t>Novo</t>
  </si>
  <si>
    <t>Média (Morno)</t>
  </si>
  <si>
    <t>Veduta Residencial</t>
  </si>
  <si>
    <t>Condomínio Fechado em Jundiaí</t>
  </si>
  <si>
    <t>Forest Jundiaí</t>
  </si>
  <si>
    <t>Reserva Da Serra</t>
  </si>
  <si>
    <t>Condomínio Casas da Toscana</t>
  </si>
  <si>
    <t>N/A</t>
  </si>
  <si>
    <t>https://www.instagram.com/forcebrokersoficial/</t>
  </si>
  <si>
    <t>https://www.instagram.com/grupolarbr/</t>
  </si>
  <si>
    <t>https://www.facebook.com/forcebrokersoficial</t>
  </si>
  <si>
    <t>https://www.facebook.com/grupolarbrasil/</t>
  </si>
  <si>
    <t>https://www.linkedin.com/company/grupo-lar-brasil/</t>
  </si>
  <si>
    <t>http://www.veduta.com.br/</t>
  </si>
  <si>
    <t>https://forcebrokers.com.br/imoveis/a-venda/jundiai-sp/engordadouro</t>
  </si>
  <si>
    <t>https://grupolar.com.br/imovel/retiro/forest-jundiai/?utm_source=BO&amp;utm_medium=Google&amp;utm_campaign=gmn</t>
  </si>
  <si>
    <t>http://www.reservadaserra.com.br/</t>
  </si>
  <si>
    <t>https://grupolar.com.br/imovel/medeiros/casas-da-toscana/</t>
  </si>
  <si>
    <t>Erro 406</t>
  </si>
  <si>
    <t>Ativo (200 OK)</t>
  </si>
  <si>
    <t>Fora do Ar / Timeout</t>
  </si>
  <si>
    <t>Com site</t>
  </si>
  <si>
    <t>https://tinyurl.com/2aslsgsg</t>
  </si>
  <si>
    <t>https://tinyurl.com/26ktv5ae</t>
  </si>
  <si>
    <t>https://tinyurl.com/29ye6w9c</t>
  </si>
  <si>
    <t>https://tinyurl.com/28tnjkfy</t>
  </si>
  <si>
    <t>https://tinyurl.com/2dptsgpb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</si>
</sst>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veduta.com.br/" TargetMode="External"/><Relationship Id="rId2" Type="http://schemas.openxmlformats.org/officeDocument/2006/relationships/hyperlink" Target="https://tinyurl.com/2aslsgsg" TargetMode="External"/><Relationship Id="rId3" Type="http://schemas.openxmlformats.org/officeDocument/2006/relationships/hyperlink" Target="https://www.instagram.com/forcebrokersoficial/" TargetMode="External"/><Relationship Id="rId4" Type="http://schemas.openxmlformats.org/officeDocument/2006/relationships/hyperlink" Target="https://www.facebook.com/forcebrokersoficial" TargetMode="External"/><Relationship Id="rId5" Type="http://schemas.openxmlformats.org/officeDocument/2006/relationships/hyperlink" Target="https://forcebrokers.com.br/imoveis/a-venda/jundiai-sp/engordadouro" TargetMode="External"/><Relationship Id="rId6" Type="http://schemas.openxmlformats.org/officeDocument/2006/relationships/hyperlink" Target="https://tinyurl.com/26ktv5ae" TargetMode="External"/><Relationship Id="rId7" Type="http://schemas.openxmlformats.org/officeDocument/2006/relationships/hyperlink" Target="https://www.instagram.com/grupolarbr/" TargetMode="External"/><Relationship Id="rId8" Type="http://schemas.openxmlformats.org/officeDocument/2006/relationships/hyperlink" Target="https://www.facebook.com/grupolarbrasil/" TargetMode="External"/><Relationship Id="rId9" Type="http://schemas.openxmlformats.org/officeDocument/2006/relationships/hyperlink" Target="https://www.linkedin.com/company/grupo-lar-brasil/" TargetMode="External"/><Relationship Id="rId10" Type="http://schemas.openxmlformats.org/officeDocument/2006/relationships/hyperlink" Target="https://grupolar.com.br/imovel/retiro/forest-jundiai/?utm_source=BO&amp;utm_medium=Google&amp;utm_campaign=gmn" TargetMode="External"/><Relationship Id="rId11" Type="http://schemas.openxmlformats.org/officeDocument/2006/relationships/hyperlink" Target="https://tinyurl.com/29ye6w9c" TargetMode="External"/><Relationship Id="rId12" Type="http://schemas.openxmlformats.org/officeDocument/2006/relationships/hyperlink" Target="http://www.reservadaserra.com.br/" TargetMode="External"/><Relationship Id="rId13" Type="http://schemas.openxmlformats.org/officeDocument/2006/relationships/hyperlink" Target="https://tinyurl.com/28tnjkfy" TargetMode="External"/><Relationship Id="rId14" Type="http://schemas.openxmlformats.org/officeDocument/2006/relationships/hyperlink" Target="https://www.instagram.com/grupolarbr/" TargetMode="External"/><Relationship Id="rId15" Type="http://schemas.openxmlformats.org/officeDocument/2006/relationships/hyperlink" Target="https://www.facebook.com/grupolarbrasil/" TargetMode="External"/><Relationship Id="rId16" Type="http://schemas.openxmlformats.org/officeDocument/2006/relationships/hyperlink" Target="https://www.linkedin.com/company/grupo-lar-brasil/" TargetMode="External"/><Relationship Id="rId17" Type="http://schemas.openxmlformats.org/officeDocument/2006/relationships/hyperlink" Target="https://grupolar.com.br/imovel/medeiros/casas-da-toscana/" TargetMode="External"/><Relationship Id="rId18" Type="http://schemas.openxmlformats.org/officeDocument/2006/relationships/hyperlink" Target="https://tinyurl.com/2dptsg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35.7109375" customWidth="1"/>
    <col min="4" max="7" width="30.7109375" customWidth="1"/>
    <col min="8" max="8" width="22.7109375" customWidth="1"/>
    <col min="9" max="9" width="30.7109375" customWidth="1"/>
    <col min="10" max="11" width="15.7109375" customWidth="1"/>
    <col min="12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19</v>
      </c>
      <c r="E2" t="s">
        <v>19</v>
      </c>
      <c r="F2" t="s">
        <v>19</v>
      </c>
      <c r="G2" t="s">
        <v>19</v>
      </c>
      <c r="H2">
        <f>HYPERLINK("https://wa.me/5511974742427", "📱 5511974742427")</f>
        <v>0</v>
      </c>
      <c r="I2" s="2" t="s">
        <v>25</v>
      </c>
      <c r="J2" t="s">
        <v>30</v>
      </c>
      <c r="K2" t="s">
        <v>33</v>
      </c>
      <c r="L2" s="2" t="s">
        <v>34</v>
      </c>
    </row>
    <row r="3" spans="1:12">
      <c r="A3" t="s">
        <v>12</v>
      </c>
      <c r="B3" t="s">
        <v>13</v>
      </c>
      <c r="C3" t="s">
        <v>15</v>
      </c>
      <c r="D3" t="s">
        <v>19</v>
      </c>
      <c r="E3" s="2" t="s">
        <v>20</v>
      </c>
      <c r="F3" s="2" t="s">
        <v>22</v>
      </c>
      <c r="G3" t="s">
        <v>19</v>
      </c>
      <c r="H3">
        <f>HYPERLINK("https://wa.me/551133790334", "📱 551133790334")</f>
        <v>0</v>
      </c>
      <c r="I3" s="2" t="s">
        <v>26</v>
      </c>
      <c r="J3" t="s">
        <v>31</v>
      </c>
      <c r="K3" t="s">
        <v>33</v>
      </c>
      <c r="L3" s="2" t="s">
        <v>35</v>
      </c>
    </row>
    <row r="4" spans="1:12">
      <c r="A4" t="s">
        <v>12</v>
      </c>
      <c r="B4" t="s">
        <v>13</v>
      </c>
      <c r="C4" t="s">
        <v>16</v>
      </c>
      <c r="D4" t="s">
        <v>19</v>
      </c>
      <c r="E4" s="2" t="s">
        <v>21</v>
      </c>
      <c r="F4" s="2" t="s">
        <v>23</v>
      </c>
      <c r="G4" s="2" t="s">
        <v>24</v>
      </c>
      <c r="H4">
        <f>HYPERLINK("https://wa.me/5511986554999", "📱 5511986554999")</f>
        <v>0</v>
      </c>
      <c r="I4" s="2" t="s">
        <v>27</v>
      </c>
      <c r="J4" t="s">
        <v>31</v>
      </c>
      <c r="K4" t="s">
        <v>33</v>
      </c>
      <c r="L4" s="2" t="s">
        <v>36</v>
      </c>
    </row>
    <row r="5" spans="1:12">
      <c r="A5" t="s">
        <v>12</v>
      </c>
      <c r="B5" t="s">
        <v>13</v>
      </c>
      <c r="C5" t="s">
        <v>17</v>
      </c>
      <c r="D5" t="s">
        <v>19</v>
      </c>
      <c r="E5" t="s">
        <v>19</v>
      </c>
      <c r="F5" t="s">
        <v>19</v>
      </c>
      <c r="G5" t="s">
        <v>19</v>
      </c>
      <c r="H5">
        <f>HYPERLINK("https://wa.me/551145251730", "📱 551145251730")</f>
        <v>0</v>
      </c>
      <c r="I5" s="2" t="s">
        <v>28</v>
      </c>
      <c r="J5" t="s">
        <v>32</v>
      </c>
      <c r="K5" t="s">
        <v>33</v>
      </c>
      <c r="L5" s="2" t="s">
        <v>37</v>
      </c>
    </row>
    <row r="6" spans="1:12">
      <c r="A6" t="s">
        <v>12</v>
      </c>
      <c r="B6" t="s">
        <v>13</v>
      </c>
      <c r="C6" t="s">
        <v>18</v>
      </c>
      <c r="D6" t="s">
        <v>19</v>
      </c>
      <c r="E6" s="2" t="s">
        <v>21</v>
      </c>
      <c r="F6" s="2" t="s">
        <v>23</v>
      </c>
      <c r="G6" s="2" t="s">
        <v>24</v>
      </c>
      <c r="H6">
        <f>HYPERLINK("https://wa.me/551140873019", "📱 551140873019")</f>
        <v>0</v>
      </c>
      <c r="I6" s="2" t="s">
        <v>29</v>
      </c>
      <c r="J6" t="s">
        <v>31</v>
      </c>
      <c r="K6" t="s">
        <v>33</v>
      </c>
      <c r="L6" s="2" t="s">
        <v>38</v>
      </c>
    </row>
  </sheetData>
  <hyperlinks>
    <hyperlink ref="I2" r:id="rId1"/>
    <hyperlink ref="L2" r:id="rId2"/>
    <hyperlink ref="E3" r:id="rId3"/>
    <hyperlink ref="F3" r:id="rId4"/>
    <hyperlink ref="I3" r:id="rId5"/>
    <hyperlink ref="L3" r:id="rId6"/>
    <hyperlink ref="E4" r:id="rId7"/>
    <hyperlink ref="F4" r:id="rId8"/>
    <hyperlink ref="G4" r:id="rId9"/>
    <hyperlink ref="I4" r:id="rId10"/>
    <hyperlink ref="L4" r:id="rId11"/>
    <hyperlink ref="I5" r:id="rId12"/>
    <hyperlink ref="L5" r:id="rId13"/>
    <hyperlink ref="E6" r:id="rId14"/>
    <hyperlink ref="F6" r:id="rId15"/>
    <hyperlink ref="G6" r:id="rId16"/>
    <hyperlink ref="I6" r:id="rId17"/>
    <hyperlink ref="L6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Extraídos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2026-04-14T23:32:39Z</dcterms:created>
  <dcterms:modified xsi:type="dcterms:W3CDTF">2026-04-14T23:32:39Z</dcterms:modified>
</cp:coreProperties>
</file>